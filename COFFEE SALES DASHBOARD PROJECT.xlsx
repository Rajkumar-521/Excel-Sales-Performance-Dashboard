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D:\EXCEL PRACTICE\"/>
    </mc:Choice>
  </mc:AlternateContent>
  <xr:revisionPtr revIDLastSave="0" documentId="13_ncr:1_{EDD344E8-2969-4B1A-9D5E-74C3532CEECB}" xr6:coauthVersionLast="47" xr6:coauthVersionMax="47" xr10:uidLastSave="{00000000-0000-0000-0000-000000000000}"/>
  <bookViews>
    <workbookView xWindow="-108" yWindow="-108" windowWidth="23256" windowHeight="13896" activeTab="1" xr2:uid="{00000000-000D-0000-FFFF-FFFF00000000}"/>
  </bookViews>
  <sheets>
    <sheet name="Dashboard" sheetId="22" r:id="rId1"/>
    <sheet name="TotalSales" sheetId="18" r:id="rId2"/>
    <sheet name="CountryBarChart"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K2" i="17"/>
  <c r="L2" i="17"/>
  <c r="M2"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<sst xmlns="http://schemas.openxmlformats.org/spreadsheetml/2006/main" count="11128" uniqueCount="6222">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</sst>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4A]* #,##0.00_-;\-[$₹-44A]* #,##0.00_-;_-[$₹-44A]* &quot;-&quot;??_-;_-@_-"/>
    <numFmt numFmtId="168" formatCode="[$₹-44A]#,##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4A]* #,##0.00_-;\-[$₹-44A]* #,##0.00_-;_-[$₹-44A]* &quot;-&quot;??_-;_-@_-"/>
    </dxf>
    <dxf>
      <numFmt numFmtId="167" formatCode="_-[$₹-44A]* #,##0.00_-;\-[$₹-44A]* #,##0.00_-;_-[$₹-44A]*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theme="1"/>
        </left>
        <right style="thin">
          <color theme="1"/>
        </right>
        <top style="thin">
          <color theme="1"/>
        </top>
        <bottom style="thin">
          <color theme="1"/>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4F4C923A-667B-411C-BCBC-151CB330B28B}">
      <tableStyleElement type="wholeTable" dxfId="15"/>
      <tableStyleElement type="headerRow" dxfId="14"/>
    </tableStyle>
    <tableStyle name="Purple Timeline Style" pivot="0" table="0" count="8" xr9:uid="{D1F8018E-3B6B-4B89-8F9E-004E01594E0E}">
      <tableStyleElement type="wholeTable" dxfId="13"/>
      <tableStyleElement type="headerRow" dxfId="12"/>
    </tableStyle>
  </tableStyles>
  <colors>
    <mruColors>
      <color rgb="FF3C1464"/>
      <color rgb="FFAFFFD3"/>
      <color rgb="FF00EE6C"/>
      <color rgb="FF005024"/>
      <color rgb="FFE0CBF5"/>
      <color rgb="FF9650DC"/>
      <color rgb="FF97450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name val="Calibri Light"/>
            <family val="2"/>
            <scheme val="maj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446-4D2B-9E19-74BD23318C3E}"/>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446-4D2B-9E19-74BD23318C3E}"/>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446-4D2B-9E19-74BD23318C3E}"/>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B446-4D2B-9E19-74BD23318C3E}"/>
            </c:ext>
          </c:extLst>
        </c:ser>
        <c:dLbls>
          <c:showLegendKey val="0"/>
          <c:showVal val="0"/>
          <c:showCatName val="0"/>
          <c:showSerName val="0"/>
          <c:showPercent val="0"/>
          <c:showBubbleSize val="0"/>
        </c:dLbls>
        <c:smooth val="0"/>
        <c:axId val="40579791"/>
        <c:axId val="40581711"/>
      </c:lineChart>
      <c:catAx>
        <c:axId val="40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0581711"/>
        <c:crosses val="autoZero"/>
        <c:auto val="1"/>
        <c:lblAlgn val="ctr"/>
        <c:lblOffset val="100"/>
        <c:noMultiLvlLbl val="0"/>
      </c:catAx>
      <c:valAx>
        <c:axId val="4058171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05797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PROJECT.xlsx]CountryBarChart!TotalSales</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5024"/>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EE6C"/>
          </a:solidFill>
          <a:ln w="25400">
            <a:solidFill>
              <a:schemeClr val="bg1"/>
            </a:solidFill>
          </a:ln>
          <a:effectLst/>
        </c:spPr>
      </c:pivotFmt>
      <c:pivotFmt>
        <c:idx val="2"/>
        <c:spPr>
          <a:solidFill>
            <a:srgbClr val="AFFFD3"/>
          </a:solidFill>
          <a:ln w="25400">
            <a:solidFill>
              <a:schemeClr val="bg1"/>
            </a:solidFill>
          </a:ln>
          <a:effectLst/>
        </c:spPr>
      </c:pivotFmt>
      <c:pivotFmt>
        <c:idx val="3"/>
        <c:spPr>
          <a:solidFill>
            <a:srgbClr val="005024"/>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FFFD3"/>
          </a:solidFill>
          <a:ln w="25400">
            <a:solidFill>
              <a:schemeClr val="bg1"/>
            </a:solidFill>
          </a:ln>
          <a:effectLst/>
        </c:spPr>
      </c:pivotFmt>
      <c:pivotFmt>
        <c:idx val="5"/>
        <c:spPr>
          <a:solidFill>
            <a:srgbClr val="00EE6C"/>
          </a:solidFill>
          <a:ln w="25400">
            <a:solidFill>
              <a:schemeClr val="bg1"/>
            </a:solidFill>
          </a:ln>
          <a:effectLst/>
        </c:spPr>
      </c:pivotFmt>
      <c:pivotFmt>
        <c:idx val="6"/>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FFFD3"/>
          </a:solidFill>
          <a:ln w="25400">
            <a:solidFill>
              <a:schemeClr val="bg1"/>
            </a:solidFill>
          </a:ln>
          <a:effectLst/>
        </c:spPr>
      </c:pivotFmt>
      <c:pivotFmt>
        <c:idx val="8"/>
        <c:spPr>
          <a:solidFill>
            <a:srgbClr val="00EE6C"/>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5024"/>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5950-4BD5-B6FB-D01D66C7CBCF}"/>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5950-4BD5-B6FB-D01D66C7CB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[$₹-44A]#,##0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5950-4BD5-B6FB-D01D66C7CBCF}"/>
            </c:ext>
          </c:extLst>
        </c:ser>
        <c:dLbls>
          <c:showLegendKey val="0"/>
          <c:showVal val="0"/>
          <c:showCatName val="0"/>
          <c:showSerName val="0"/>
          <c:showPercent val="0"/>
          <c:showBubbleSize val="0"/>
        </c:dLbls>
        <c:gapWidth val="182"/>
        <c:axId val="344864559"/>
        <c:axId val="344865039"/>
      </c:barChart>
      <c:catAx>
        <c:axId val="34486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5039"/>
        <c:crosses val="autoZero"/>
        <c:auto val="1"/>
        <c:lblAlgn val="ctr"/>
        <c:lblOffset val="100"/>
        <c:noMultiLvlLbl val="0"/>
      </c:catAx>
      <c:valAx>
        <c:axId val="344865039"/>
        <c:scaling>
          <c:orientation val="minMax"/>
        </c:scaling>
        <c:delete val="0"/>
        <c:axPos val="b"/>
        <c:majorGridlines>
          <c:spPr>
            <a:ln w="9525" cap="flat" cmpd="sng" algn="ctr">
              <a:solidFill>
                <a:schemeClr val="bg1"/>
              </a:solidFill>
              <a:round/>
            </a:ln>
            <a:effectLst/>
          </c:spPr>
        </c:majorGridlines>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PROJECT.xlsx]Top5Customers!TotalSales</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EE6C"/>
          </a:solidFill>
          <a:ln w="25400">
            <a:solidFill>
              <a:schemeClr val="bg1"/>
            </a:solidFill>
          </a:ln>
          <a:effectLst/>
        </c:spPr>
      </c:pivotFmt>
      <c:pivotFmt>
        <c:idx val="2"/>
        <c:spPr>
          <a:solidFill>
            <a:srgbClr val="AFFFD3"/>
          </a:solidFill>
          <a:ln w="25400">
            <a:solidFill>
              <a:schemeClr val="bg1"/>
            </a:solidFill>
          </a:ln>
          <a:effectLst/>
        </c:spPr>
      </c:pivotFmt>
      <c:pivotFmt>
        <c:idx val="3"/>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FFFD3"/>
          </a:solidFill>
          <a:ln w="25400">
            <a:solidFill>
              <a:schemeClr val="bg1"/>
            </a:solidFill>
          </a:ln>
          <a:effectLst/>
        </c:spPr>
      </c:pivotFmt>
      <c:pivotFmt>
        <c:idx val="5"/>
        <c:spPr>
          <a:solidFill>
            <a:srgbClr val="00EE6C"/>
          </a:solidFill>
          <a:ln w="25400">
            <a:solidFill>
              <a:schemeClr val="bg1"/>
            </a:solidFill>
          </a:ln>
          <a:effectLst/>
        </c:spPr>
      </c:pivotFmt>
      <c:pivotFmt>
        <c:idx val="6"/>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5024"/>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F7C0-4FCF-BDEA-D7AB031FFBA0}"/>
              </c:ext>
            </c:extLst>
          </c:dPt>
          <c:dPt>
            <c:idx val="1"/>
            <c:invertIfNegative val="0"/>
            <c:bubble3D val="0"/>
            <c:extLst>
              <c:ext xmlns:c16="http://schemas.microsoft.com/office/drawing/2014/chart" uri="{C3380CC4-5D6E-409C-BE32-E72D297353CC}">
                <c16:uniqueId val="{00000001-F7C0-4FCF-BDEA-D7AB031FF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[$₹-44A]#,##0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F7C0-4FCF-BDEA-D7AB031FFBA0}"/>
            </c:ext>
          </c:extLst>
        </c:ser>
        <c:dLbls>
          <c:showLegendKey val="0"/>
          <c:showVal val="0"/>
          <c:showCatName val="0"/>
          <c:showSerName val="0"/>
          <c:showPercent val="0"/>
          <c:showBubbleSize val="0"/>
        </c:dLbls>
        <c:gapWidth val="182"/>
        <c:axId val="344864559"/>
        <c:axId val="344865039"/>
      </c:barChart>
      <c:catAx>
        <c:axId val="34486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5039"/>
        <c:crosses val="autoZero"/>
        <c:auto val="1"/>
        <c:lblAlgn val="ctr"/>
        <c:lblOffset val="100"/>
        <c:noMultiLvlLbl val="0"/>
      </c:catAx>
      <c:valAx>
        <c:axId val="344865039"/>
        <c:scaling>
          <c:orientation val="minMax"/>
        </c:scaling>
        <c:delete val="0"/>
        <c:axPos val="b"/>
        <c:majorGridlines>
          <c:spPr>
            <a:ln w="9525" cap="flat" cmpd="sng" algn="ctr">
              <a:solidFill>
                <a:schemeClr val="bg1"/>
              </a:solidFill>
              <a:round/>
            </a:ln>
            <a:effectLst/>
          </c:spPr>
        </c:majorGridlines>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PROJECT.xlsx]TotalSales!TotalSales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406-4B25-AD30-DFE396213AE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406-4B25-AD30-DFE396213AE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406-4B25-AD30-DFE396213AE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4406-4B25-AD30-DFE396213AE1}"/>
            </c:ext>
          </c:extLst>
        </c:ser>
        <c:dLbls>
          <c:showLegendKey val="0"/>
          <c:showVal val="0"/>
          <c:showCatName val="0"/>
          <c:showSerName val="0"/>
          <c:showPercent val="0"/>
          <c:showBubbleSize val="0"/>
        </c:dLbls>
        <c:smooth val="0"/>
        <c:axId val="40579791"/>
        <c:axId val="40581711"/>
      </c:lineChart>
      <c:catAx>
        <c:axId val="40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0581711"/>
        <c:crosses val="autoZero"/>
        <c:auto val="1"/>
        <c:lblAlgn val="ctr"/>
        <c:lblOffset val="100"/>
        <c:noMultiLvlLbl val="0"/>
      </c:catAx>
      <c:valAx>
        <c:axId val="4058171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05797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PROJECT.xlsx]CountryBarChart!TotalSales</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EE6C"/>
          </a:solidFill>
          <a:ln w="25400">
            <a:solidFill>
              <a:schemeClr val="bg1"/>
            </a:solidFill>
          </a:ln>
          <a:effectLst/>
        </c:spPr>
      </c:pivotFmt>
      <c:pivotFmt>
        <c:idx val="2"/>
        <c:spPr>
          <a:solidFill>
            <a:srgbClr val="AFFFD3"/>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5024"/>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3-09D4-431D-927A-87B50B71F70B}"/>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2-09D4-431D-927A-87B50B71F7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[$₹-44A]#,##0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9D4-431D-927A-87B50B71F70B}"/>
            </c:ext>
          </c:extLst>
        </c:ser>
        <c:dLbls>
          <c:showLegendKey val="0"/>
          <c:showVal val="0"/>
          <c:showCatName val="0"/>
          <c:showSerName val="0"/>
          <c:showPercent val="0"/>
          <c:showBubbleSize val="0"/>
        </c:dLbls>
        <c:gapWidth val="182"/>
        <c:axId val="344864559"/>
        <c:axId val="344865039"/>
      </c:barChart>
      <c:catAx>
        <c:axId val="34486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5039"/>
        <c:crosses val="autoZero"/>
        <c:auto val="1"/>
        <c:lblAlgn val="ctr"/>
        <c:lblOffset val="100"/>
        <c:noMultiLvlLbl val="0"/>
      </c:catAx>
      <c:valAx>
        <c:axId val="344865039"/>
        <c:scaling>
          <c:orientation val="minMax"/>
        </c:scaling>
        <c:delete val="0"/>
        <c:axPos val="b"/>
        <c:majorGridlines>
          <c:spPr>
            <a:ln w="9525" cap="flat" cmpd="sng" algn="ctr">
              <a:solidFill>
                <a:schemeClr val="bg1"/>
              </a:solidFill>
              <a:round/>
            </a:ln>
            <a:effectLst/>
          </c:spPr>
        </c:majorGridlines>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PROJECT.xlsx]Top5Customers!TotalSales</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EE6C"/>
          </a:solidFill>
          <a:ln w="25400">
            <a:solidFill>
              <a:schemeClr val="bg1"/>
            </a:solidFill>
          </a:ln>
          <a:effectLst/>
        </c:spPr>
      </c:pivotFmt>
      <c:pivotFmt>
        <c:idx val="2"/>
        <c:spPr>
          <a:solidFill>
            <a:srgbClr val="AFFFD3"/>
          </a:solidFill>
          <a:ln w="25400">
            <a:solidFill>
              <a:schemeClr val="bg1"/>
            </a:solidFill>
          </a:ln>
          <a:effectLst/>
        </c:spPr>
      </c:pivotFmt>
      <c:pivotFmt>
        <c:idx val="3"/>
        <c:spPr>
          <a:solidFill>
            <a:srgbClr val="005024"/>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FFFD3"/>
          </a:solidFill>
          <a:ln w="25400">
            <a:solidFill>
              <a:schemeClr val="bg1"/>
            </a:solidFill>
          </a:ln>
          <a:effectLst/>
        </c:spPr>
      </c:pivotFmt>
      <c:pivotFmt>
        <c:idx val="5"/>
        <c:spPr>
          <a:solidFill>
            <a:srgbClr val="00EE6C"/>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5024"/>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5BAE-4489-8D48-E9CE9F2B5695}"/>
              </c:ext>
            </c:extLst>
          </c:dPt>
          <c:dPt>
            <c:idx val="1"/>
            <c:invertIfNegative val="0"/>
            <c:bubble3D val="0"/>
            <c:extLst>
              <c:ext xmlns:c16="http://schemas.microsoft.com/office/drawing/2014/chart" uri="{C3380CC4-5D6E-409C-BE32-E72D297353CC}">
                <c16:uniqueId val="{00000003-5BAE-4489-8D48-E9CE9F2B56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[$₹-44A]#,##0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5BAE-4489-8D48-E9CE9F2B5695}"/>
            </c:ext>
          </c:extLst>
        </c:ser>
        <c:dLbls>
          <c:showLegendKey val="0"/>
          <c:showVal val="0"/>
          <c:showCatName val="0"/>
          <c:showSerName val="0"/>
          <c:showPercent val="0"/>
          <c:showBubbleSize val="0"/>
        </c:dLbls>
        <c:gapWidth val="182"/>
        <c:axId val="344864559"/>
        <c:axId val="344865039"/>
      </c:barChart>
      <c:catAx>
        <c:axId val="34486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5039"/>
        <c:crosses val="autoZero"/>
        <c:auto val="1"/>
        <c:lblAlgn val="ctr"/>
        <c:lblOffset val="100"/>
        <c:noMultiLvlLbl val="0"/>
      </c:catAx>
      <c:valAx>
        <c:axId val="344865039"/>
        <c:scaling>
          <c:orientation val="minMax"/>
        </c:scaling>
        <c:delete val="0"/>
        <c:axPos val="b"/>
        <c:majorGridlines>
          <c:spPr>
            <a:ln w="9525" cap="flat" cmpd="sng" algn="ctr">
              <a:solidFill>
                <a:schemeClr val="bg1"/>
              </a:solidFill>
              <a:round/>
            </a:ln>
            <a:effectLst/>
          </c:spPr>
        </c:majorGridlines>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486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106680</xdr:colOff>
      <xdr:row>1</xdr:row>
      <xdr:rowOff>0</xdr:rowOff>
    </xdr:from>
    <xdr:to>
      <xdr:col>26</xdr:col>
      <xdr:colOff>0</xdr:colOff>
      <xdr:row>4</xdr:row>
      <xdr:rowOff>167640</xdr:rowOff>
    </xdr:to>
    <xdr:sp macro="" textlink="">
      <xdr:nvSpPr>
        <xdr:cNvPr id="2" name="Rectangle 1">
          <a:extLst>
            <a:ext uri="{FF2B5EF4-FFF2-40B4-BE49-F238E27FC236}">
              <a16:creationId xmlns:a16="http://schemas.microsoft.com/office/drawing/2014/main" id="{40F0AEB8-469B-44D0-0756-5E2F2455AC93}"/>
            </a:ext>
          </a:extLst>
        </xdr:cNvPr>
        <xdr:cNvSpPr/>
      </xdr:nvSpPr>
      <xdr:spPr>
        <a:xfrm>
          <a:off x="106680" y="61310"/>
          <a:ext cx="15343527" cy="71943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9769</xdr:colOff>
      <xdr:row>17</xdr:row>
      <xdr:rowOff>9769</xdr:rowOff>
    </xdr:from>
    <xdr:to>
      <xdr:col>15</xdr:col>
      <xdr:colOff>19539</xdr:colOff>
      <xdr:row>39</xdr:row>
      <xdr:rowOff>175846</xdr:rowOff>
    </xdr:to>
    <xdr:graphicFrame macro="">
      <xdr:nvGraphicFramePr>
        <xdr:cNvPr id="4" name="Chart 3">
          <a:extLst>
            <a:ext uri="{FF2B5EF4-FFF2-40B4-BE49-F238E27FC236}">
              <a16:creationId xmlns:a16="http://schemas.microsoft.com/office/drawing/2014/main" id="{DF6FF599-F756-4FB8-9F6E-A72880755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26275</xdr:colOff>
      <xdr:row>10</xdr:row>
      <xdr:rowOff>58860</xdr:rowOff>
    </xdr:from>
    <xdr:to>
      <xdr:col>21</xdr:col>
      <xdr:colOff>604344</xdr:colOff>
      <xdr:row>15</xdr:row>
      <xdr:rowOff>166414</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6B7537E0-DD72-4982-91D4-37B252F2C3B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069044" y="1661014"/>
              <a:ext cx="1789454" cy="908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22245</xdr:colOff>
      <xdr:row>6</xdr:row>
      <xdr:rowOff>17517</xdr:rowOff>
    </xdr:from>
    <xdr:to>
      <xdr:col>26</xdr:col>
      <xdr:colOff>8758</xdr:colOff>
      <xdr:row>9</xdr:row>
      <xdr:rowOff>166414</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D0A57EB2-A059-441B-A53F-E591D533714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065014" y="877209"/>
              <a:ext cx="3737898" cy="705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17517</xdr:colOff>
      <xdr:row>10</xdr:row>
      <xdr:rowOff>44757</xdr:rowOff>
    </xdr:from>
    <xdr:to>
      <xdr:col>26</xdr:col>
      <xdr:colOff>8759</xdr:colOff>
      <xdr:row>15</xdr:row>
      <xdr:rowOff>166414</xdr:rowOff>
    </xdr:to>
    <mc:AlternateContent xmlns:mc="http://schemas.openxmlformats.org/markup-compatibility/2006" xmlns:a14="http://schemas.microsoft.com/office/drawing/2010/main">
      <mc:Choice Requires="a14">
        <xdr:graphicFrame macro="">
          <xdr:nvGraphicFramePr>
            <xdr:cNvPr id="7" name="Loyality card 1">
              <a:extLst>
                <a:ext uri="{FF2B5EF4-FFF2-40B4-BE49-F238E27FC236}">
                  <a16:creationId xmlns:a16="http://schemas.microsoft.com/office/drawing/2014/main" id="{F6243930-33BE-43C5-9BA9-9FC4DE6FD761}"/>
                </a:ext>
              </a:extLst>
            </xdr:cNvPr>
            <xdr:cNvGraphicFramePr/>
          </xdr:nvGraphicFramePr>
          <xdr:xfrm>
            <a:off x="0" y="0"/>
            <a:ext cx="0" cy="0"/>
          </xdr:xfrm>
          <a:graphic>
            <a:graphicData uri="http://schemas.microsoft.com/office/drawing/2010/slicer">
              <sle:slicer xmlns:sle="http://schemas.microsoft.com/office/drawing/2010/slicer" name="Loyality card 1"/>
            </a:graphicData>
          </a:graphic>
        </xdr:graphicFrame>
      </mc:Choice>
      <mc:Fallback xmlns="">
        <xdr:sp macro="" textlink="">
          <xdr:nvSpPr>
            <xdr:cNvPr id="0" name=""/>
            <xdr:cNvSpPr>
              <a:spLocks noTextEdit="1"/>
            </xdr:cNvSpPr>
          </xdr:nvSpPr>
          <xdr:spPr>
            <a:xfrm>
              <a:off x="11994594" y="1646911"/>
              <a:ext cx="1808319" cy="922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8758</xdr:colOff>
      <xdr:row>6</xdr:row>
      <xdr:rowOff>2695</xdr:rowOff>
    </xdr:from>
    <xdr:to>
      <xdr:col>17</xdr:col>
      <xdr:colOff>595923</xdr:colOff>
      <xdr:row>15</xdr:row>
      <xdr:rowOff>175173</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DEB99113-3F1A-40E7-85C8-8DB85F160BF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5989" y="862387"/>
              <a:ext cx="9789780" cy="17160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115209</xdr:colOff>
      <xdr:row>17</xdr:row>
      <xdr:rowOff>20210</xdr:rowOff>
    </xdr:from>
    <xdr:to>
      <xdr:col>25</xdr:col>
      <xdr:colOff>595923</xdr:colOff>
      <xdr:row>27</xdr:row>
      <xdr:rowOff>1</xdr:rowOff>
    </xdr:to>
    <xdr:graphicFrame macro="">
      <xdr:nvGraphicFramePr>
        <xdr:cNvPr id="9" name="Chart 8">
          <a:extLst>
            <a:ext uri="{FF2B5EF4-FFF2-40B4-BE49-F238E27FC236}">
              <a16:creationId xmlns:a16="http://schemas.microsoft.com/office/drawing/2014/main" id="{4974F6FD-AB8B-48AE-828E-5ABDD8527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10444</xdr:colOff>
      <xdr:row>27</xdr:row>
      <xdr:rowOff>48173</xdr:rowOff>
    </xdr:from>
    <xdr:to>
      <xdr:col>25</xdr:col>
      <xdr:colOff>595923</xdr:colOff>
      <xdr:row>40</xdr:row>
      <xdr:rowOff>9769</xdr:rowOff>
    </xdr:to>
    <xdr:graphicFrame macro="">
      <xdr:nvGraphicFramePr>
        <xdr:cNvPr id="10" name="Chart 9">
          <a:extLst>
            <a:ext uri="{FF2B5EF4-FFF2-40B4-BE49-F238E27FC236}">
              <a16:creationId xmlns:a16="http://schemas.microsoft.com/office/drawing/2014/main" id="{82FC13B6-168F-46A3-801A-08DF5935C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426720</xdr:colOff>
      <xdr:row>15</xdr:row>
      <xdr:rowOff>160020</xdr:rowOff>
    </xdr:from>
    <xdr:to>
      <xdr:col>16</xdr:col>
      <xdr:colOff>274320</xdr:colOff>
      <xdr:row>32</xdr:row>
      <xdr:rowOff>160020</xdr:rowOff>
    </xdr:to>
    <xdr:graphicFrame macro="">
      <xdr:nvGraphicFramePr>
        <xdr:cNvPr id="3" name="Chart 2">
          <a:extLst>
            <a:ext uri="{FF2B5EF4-FFF2-40B4-BE49-F238E27FC236}">
              <a16:creationId xmlns:a16="http://schemas.microsoft.com/office/drawing/2014/main" id="{D3B5020D-2EDD-A129-E096-919E376C9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304800</xdr:colOff>
      <xdr:row>7</xdr:row>
      <xdr:rowOff>129540</xdr:rowOff>
    </xdr:from>
    <xdr:to>
      <xdr:col>16</xdr:col>
      <xdr:colOff>358140</xdr:colOff>
      <xdr:row>15</xdr:row>
      <xdr:rowOff>38100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09118BE0-586B-41D0-6262-1AB5B0F4A78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425440" y="1409700"/>
              <a:ext cx="61493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525780</xdr:colOff>
      <xdr:row>22</xdr:row>
      <xdr:rowOff>68581</xdr:rowOff>
    </xdr:from>
    <xdr:to>
      <xdr:col>20</xdr:col>
      <xdr:colOff>525780</xdr:colOff>
      <xdr:row>28</xdr:row>
      <xdr:rowOff>7620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FCBB62B0-AD8F-AE77-A974-64AE60F4D75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352020" y="4091941"/>
              <a:ext cx="182880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160020</xdr:colOff>
      <xdr:row>12</xdr:row>
      <xdr:rowOff>121920</xdr:rowOff>
    </xdr:from>
    <xdr:to>
      <xdr:col>21</xdr:col>
      <xdr:colOff>190500</xdr:colOff>
      <xdr:row>16</xdr:row>
      <xdr:rowOff>15239</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64D779DD-C3F4-73CD-4CDE-F495D67B85A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986260" y="2316480"/>
              <a:ext cx="2468880" cy="62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525780</xdr:colOff>
      <xdr:row>16</xdr:row>
      <xdr:rowOff>68581</xdr:rowOff>
    </xdr:from>
    <xdr:to>
      <xdr:col>20</xdr:col>
      <xdr:colOff>525780</xdr:colOff>
      <xdr:row>22</xdr:row>
      <xdr:rowOff>0</xdr:rowOff>
    </xdr:to>
    <mc:AlternateContent xmlns:mc="http://schemas.openxmlformats.org/markup-compatibility/2006">
      <mc:Choice xmlns:a14="http://schemas.microsoft.com/office/drawing/2010/main" Requires="a14">
        <xdr:graphicFrame macro="">
          <xdr:nvGraphicFramePr>
            <xdr:cNvPr id="9" name="Loyality card">
              <a:extLst>
                <a:ext uri="{FF2B5EF4-FFF2-40B4-BE49-F238E27FC236}">
                  <a16:creationId xmlns:a16="http://schemas.microsoft.com/office/drawing/2014/main" id="{3507C133-3EE4-8371-E72B-CDA03A782723}"/>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2352020" y="2994661"/>
              <a:ext cx="182880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381000</xdr:colOff>
      <xdr:row>7</xdr:row>
      <xdr:rowOff>133350</xdr:rowOff>
    </xdr:from>
    <xdr:to>
      <xdr:col>13</xdr:col>
      <xdr:colOff>281940</xdr:colOff>
      <xdr:row>23</xdr:row>
      <xdr:rowOff>152400</xdr:rowOff>
    </xdr:to>
    <xdr:graphicFrame macro="">
      <xdr:nvGraphicFramePr>
        <xdr:cNvPr id="7" name="Chart 6">
          <a:extLst>
            <a:ext uri="{FF2B5EF4-FFF2-40B4-BE49-F238E27FC236}">
              <a16:creationId xmlns:a16="http://schemas.microsoft.com/office/drawing/2014/main" id="{DED4D6F4-4FB2-38B4-1776-1E5339596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381000</xdr:colOff>
      <xdr:row>7</xdr:row>
      <xdr:rowOff>133350</xdr:rowOff>
    </xdr:from>
    <xdr:to>
      <xdr:col>13</xdr:col>
      <xdr:colOff>281940</xdr:colOff>
      <xdr:row>23</xdr:row>
      <xdr:rowOff>152400</xdr:rowOff>
    </xdr:to>
    <xdr:graphicFrame macro="">
      <xdr:nvGraphicFramePr>
        <xdr:cNvPr id="2" name="Chart 1">
          <a:extLst>
            <a:ext uri="{FF2B5EF4-FFF2-40B4-BE49-F238E27FC236}">
              <a16:creationId xmlns:a16="http://schemas.microsoft.com/office/drawing/2014/main" id="{3E1B17A1-4132-4E2D-A959-FF6D6A432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DALAVADA RAJKUMAR" refreshedDate="46318.837126620369" createdVersion="8" refreshedVersion="8" minRefreshableVersion="3" recordCount="1000" xr:uid="{A097A78B-DA66-469A-9DD9-F8C09D37C21D}">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8742824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4C91B5-794D-4669-B54D-C0762354C5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3"/>
  </dataFields>
  <chartFormats count="9">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1656E2-3544-464F-9295-5D0FF3E5FC2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8"/>
  </dataField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EF6F22-0114-4417-B95C-F71EAC038BC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m="1" x="913"/>
        <item x="521"/>
        <item x="37"/>
        <item x="129"/>
        <item x="170"/>
        <item x="904"/>
        <item x="776"/>
        <item x="763"/>
        <item x="720"/>
        <item x="27"/>
        <item x="425"/>
        <item x="438"/>
        <item x="747"/>
        <item x="439"/>
        <item x="466"/>
        <item x="201"/>
        <item x="677"/>
        <item x="745"/>
        <item x="0"/>
        <item x="658"/>
        <item x="637"/>
        <item x="74"/>
        <item x="497"/>
        <item x="210"/>
        <item x="673"/>
        <item x="562"/>
        <item x="625"/>
        <item x="19"/>
        <item x="433"/>
        <item x="171"/>
        <item x="195"/>
        <item x="366"/>
        <item x="840"/>
        <item x="247"/>
        <item x="429"/>
        <item x="48"/>
        <item x="595"/>
        <item x="282"/>
        <item x="177"/>
        <item x="523"/>
        <item x="379"/>
        <item x="66"/>
        <item x="856"/>
        <item x="644"/>
        <item x="650"/>
        <item x="823"/>
        <item x="783"/>
        <item x="883"/>
        <item x="454"/>
        <item x="212"/>
        <item x="60"/>
        <item x="573"/>
        <item x="507"/>
        <item x="564"/>
        <item x="142"/>
        <item x="121"/>
        <item x="816"/>
        <item x="126"/>
        <item x="456"/>
        <item x="705"/>
        <item x="431"/>
        <item x="738"/>
        <item x="694"/>
        <item x="519"/>
        <item x="391"/>
        <item x="76"/>
        <item x="268"/>
        <item x="739"/>
        <item x="472"/>
        <item x="220"/>
        <item x="107"/>
        <item x="584"/>
        <item x="275"/>
        <item x="321"/>
        <item x="909"/>
        <item x="790"/>
        <item x="615"/>
        <item x="597"/>
        <item x="474"/>
        <item x="849"/>
        <item x="847"/>
        <item x="409"/>
        <item x="2"/>
        <item x="262"/>
        <item x="21"/>
        <item x="478"/>
        <item x="514"/>
        <item x="154"/>
        <item x="525"/>
        <item x="902"/>
        <item x="802"/>
        <item x="881"/>
        <item x="241"/>
        <item x="224"/>
        <item x="216"/>
        <item x="193"/>
        <item x="808"/>
        <item x="345"/>
        <item x="759"/>
        <item x="54"/>
        <item x="610"/>
        <item x="290"/>
        <item x="197"/>
        <item x="435"/>
        <item x="661"/>
        <item x="825"/>
        <item x="812"/>
        <item x="896"/>
        <item x="631"/>
        <item x="669"/>
        <item x="907"/>
        <item x="860"/>
        <item x="223"/>
        <item x="236"/>
        <item x="469"/>
        <item x="575"/>
        <item x="304"/>
        <item x="889"/>
        <item x="505"/>
        <item x="272"/>
        <item x="526"/>
        <item x="41"/>
        <item x="256"/>
        <item x="490"/>
        <item x="258"/>
        <item x="712"/>
        <item x="830"/>
        <item x="278"/>
        <item x="33"/>
        <item x="594"/>
        <item x="152"/>
        <item x="95"/>
        <item x="869"/>
        <item x="778"/>
        <item x="228"/>
        <item x="356"/>
        <item x="81"/>
        <item x="313"/>
        <item x="164"/>
        <item x="555"/>
        <item x="97"/>
        <item x="183"/>
        <item x="260"/>
        <item x="484"/>
        <item x="755"/>
        <item x="850"/>
        <item x="125"/>
        <item x="867"/>
        <item x="579"/>
        <item x="381"/>
        <item x="460"/>
        <item x="690"/>
        <item x="697"/>
        <item x="8"/>
        <item x="146"/>
        <item x="800"/>
        <item x="264"/>
        <item x="306"/>
        <item x="635"/>
        <item x="452"/>
        <item x="770"/>
        <item x="385"/>
        <item x="222"/>
        <item x="621"/>
        <item x="547"/>
        <item x="375"/>
        <item x="445"/>
        <item x="109"/>
        <item x="863"/>
        <item x="230"/>
        <item x="138"/>
        <item x="383"/>
        <item x="871"/>
        <item x="349"/>
        <item x="722"/>
        <item x="443"/>
        <item x="510"/>
        <item x="792"/>
        <item x="368"/>
        <item x="731"/>
        <item x="735"/>
        <item x="834"/>
        <item x="6"/>
        <item x="845"/>
        <item x="828"/>
        <item x="85"/>
        <item x="462"/>
        <item x="842"/>
        <item x="47"/>
        <item x="723"/>
        <item x="517"/>
        <item x="62"/>
        <item x="692"/>
        <item x="471"/>
        <item x="503"/>
        <item x="765"/>
        <item x="528"/>
        <item x="117"/>
        <item x="308"/>
        <item x="688"/>
        <item x="34"/>
        <item x="45"/>
        <item x="569"/>
        <item x="611"/>
        <item x="173"/>
        <item x="766"/>
        <item x="101"/>
        <item x="274"/>
        <item x="806"/>
        <item x="140"/>
        <item x="675"/>
        <item x="741"/>
        <item x="605"/>
        <item x="288"/>
        <item x="353"/>
        <item x="803"/>
        <item x="679"/>
        <item x="245"/>
        <item x="68"/>
        <item x="587"/>
        <item x="729"/>
        <item x="612"/>
        <item x="544"/>
        <item x="875"/>
        <item x="636"/>
        <item x="144"/>
        <item x="330"/>
        <item x="641"/>
        <item x="873"/>
        <item x="557"/>
        <item x="327"/>
        <item x="351"/>
        <item x="714"/>
        <item x="133"/>
        <item x="437"/>
        <item x="893"/>
        <item x="725"/>
        <item x="854"/>
        <item x="682"/>
        <item x="761"/>
        <item x="150"/>
        <item x="480"/>
        <item x="168"/>
        <item x="743"/>
        <item x="450"/>
        <item x="280"/>
        <item x="515"/>
        <item x="208"/>
        <item x="633"/>
        <item x="549"/>
        <item x="499"/>
        <item x="898"/>
        <item x="810"/>
        <item x="387"/>
        <item x="412"/>
        <item x="494"/>
        <item x="551"/>
        <item x="546"/>
        <item x="627"/>
        <item x="832"/>
        <item x="617"/>
        <item x="343"/>
        <item x="488"/>
        <item x="205"/>
        <item x="360"/>
        <item x="137"/>
        <item x="582"/>
        <item x="567"/>
        <item x="699"/>
        <item x="72"/>
        <item x="127"/>
        <item x="83"/>
        <item x="730"/>
        <item x="232"/>
        <item x="757"/>
        <item x="512"/>
        <item x="179"/>
        <item x="481"/>
        <item x="590"/>
        <item x="530"/>
        <item x="113"/>
        <item x="362"/>
        <item x="737"/>
        <item x="397"/>
        <item x="798"/>
        <item x="103"/>
        <item x="580"/>
        <item x="592"/>
        <item x="708"/>
        <item x="814"/>
        <item x="752"/>
        <item x="601"/>
        <item x="270"/>
        <item x="852"/>
        <item x="70"/>
        <item x="710"/>
        <item x="400"/>
        <item x="5"/>
        <item x="234"/>
        <item x="733"/>
        <item x="623"/>
        <item x="399"/>
        <item x="14"/>
        <item x="161"/>
        <item x="175"/>
        <item x="408"/>
        <item x="879"/>
        <item x="111"/>
        <item x="199"/>
        <item x="249"/>
        <item x="768"/>
        <item x="266"/>
        <item x="492"/>
        <item x="297"/>
        <item x="681"/>
        <item x="293"/>
        <item x="185"/>
        <item x="191"/>
        <item x="586"/>
        <item x="393"/>
        <item x="404"/>
        <item x="508"/>
        <item x="358"/>
        <item x="336"/>
        <item x="667"/>
        <item x="911"/>
        <item x="664"/>
        <item x="56"/>
        <item x="166"/>
        <item x="39"/>
        <item x="406"/>
        <item x="123"/>
        <item x="16"/>
        <item x="55"/>
        <item x="292"/>
        <item x="339"/>
        <item x="12"/>
        <item x="819"/>
        <item x="838"/>
        <item x="284"/>
        <item x="553"/>
        <item x="181"/>
        <item x="532"/>
        <item x="476"/>
        <item x="214"/>
        <item x="418"/>
        <item x="98"/>
        <item x="311"/>
        <item x="796"/>
        <item x="900"/>
        <item x="367"/>
        <item x="414"/>
        <item x="43"/>
        <item x="858"/>
        <item x="323"/>
        <item x="684"/>
        <item x="389"/>
        <item x="534"/>
        <item x="203"/>
        <item x="423"/>
        <item x="663"/>
        <item x="599"/>
        <item x="538"/>
        <item x="870"/>
        <item x="671"/>
        <item x="402"/>
        <item x="427"/>
        <item x="771"/>
        <item x="794"/>
        <item x="10"/>
        <item x="238"/>
        <item x="639"/>
        <item x="441"/>
        <item x="93"/>
        <item x="87"/>
        <item x="536"/>
        <item x="91"/>
        <item x="891"/>
        <item x="686"/>
        <item x="341"/>
        <item x="189"/>
        <item x="148"/>
        <item x="23"/>
        <item x="160"/>
        <item x="64"/>
        <item x="821"/>
        <item x="887"/>
        <item x="703"/>
        <item x="105"/>
        <item x="566"/>
        <item x="652"/>
        <item x="325"/>
        <item x="156"/>
        <item x="609"/>
        <item x="656"/>
        <item x="727"/>
        <item x="750"/>
        <item x="420"/>
        <item x="826"/>
        <item x="785"/>
        <item x="302"/>
        <item x="364"/>
        <item x="780"/>
        <item x="295"/>
        <item x="115"/>
        <item x="158"/>
        <item x="448"/>
        <item x="654"/>
        <item x="603"/>
        <item x="187"/>
        <item x="243"/>
        <item x="377"/>
        <item x="315"/>
        <item x="347"/>
        <item x="299"/>
        <item x="50"/>
        <item x="628"/>
        <item x="25"/>
        <item x="119"/>
        <item x="218"/>
        <item x="334"/>
        <item x="588"/>
        <item x="533"/>
        <item x="29"/>
        <item x="458"/>
        <item x="542"/>
        <item x="131"/>
        <item x="482"/>
        <item x="718"/>
        <item x="865"/>
        <item x="89"/>
        <item x="646"/>
        <item x="416"/>
        <item x="468"/>
        <item x="577"/>
        <item x="206"/>
        <item x="486"/>
        <item x="318"/>
        <item x="885"/>
        <item x="52"/>
        <item x="332"/>
        <item x="836"/>
        <item x="135"/>
        <item x="316"/>
        <item x="369"/>
        <item x="395"/>
        <item x="78"/>
        <item x="254"/>
        <item x="233"/>
        <item x="501"/>
        <item x="540"/>
        <item x="31"/>
        <item x="1"/>
        <item x="3"/>
        <item x="4"/>
        <item x="7"/>
        <item x="9"/>
        <item x="11"/>
        <item x="13"/>
        <item x="15"/>
        <item x="17"/>
        <item x="18"/>
        <item x="20"/>
        <item x="22"/>
        <item x="24"/>
        <item x="26"/>
        <item x="28"/>
        <item x="30"/>
        <item x="32"/>
        <item x="35"/>
        <item x="36"/>
        <item x="38"/>
        <item x="40"/>
        <item x="42"/>
        <item x="44"/>
        <item x="46"/>
        <item x="49"/>
        <item x="51"/>
        <item x="53"/>
        <item x="57"/>
        <item x="58"/>
        <item x="59"/>
        <item x="61"/>
        <item x="63"/>
        <item x="65"/>
        <item x="67"/>
        <item x="69"/>
        <item x="71"/>
        <item x="73"/>
        <item x="75"/>
        <item x="77"/>
        <item x="79"/>
        <item x="80"/>
        <item x="82"/>
        <item x="84"/>
        <item x="86"/>
        <item x="88"/>
        <item x="90"/>
        <item x="92"/>
        <item x="94"/>
        <item x="96"/>
        <item x="99"/>
        <item x="100"/>
        <item x="102"/>
        <item x="104"/>
        <item x="106"/>
        <item x="108"/>
        <item x="110"/>
        <item x="112"/>
        <item x="114"/>
        <item x="116"/>
        <item x="118"/>
        <item x="120"/>
        <item x="122"/>
        <item x="124"/>
        <item x="128"/>
        <item x="130"/>
        <item x="132"/>
        <item x="134"/>
        <item x="136"/>
        <item x="139"/>
        <item x="141"/>
        <item x="143"/>
        <item x="145"/>
        <item x="147"/>
        <item x="149"/>
        <item x="151"/>
        <item x="153"/>
        <item x="155"/>
        <item x="157"/>
        <item x="159"/>
        <item x="162"/>
        <item x="163"/>
        <item x="165"/>
        <item x="167"/>
        <item x="169"/>
        <item x="172"/>
        <item x="174"/>
        <item x="176"/>
        <item x="178"/>
        <item x="180"/>
        <item x="182"/>
        <item x="184"/>
        <item x="186"/>
        <item x="188"/>
        <item x="190"/>
        <item x="192"/>
        <item x="194"/>
        <item x="196"/>
        <item x="198"/>
        <item x="200"/>
        <item x="202"/>
        <item x="204"/>
        <item x="207"/>
        <item x="209"/>
        <item x="211"/>
        <item x="213"/>
        <item x="215"/>
        <item x="217"/>
        <item x="219"/>
        <item x="221"/>
        <item x="225"/>
        <item x="226"/>
        <item x="227"/>
        <item x="229"/>
        <item x="231"/>
        <item x="235"/>
        <item x="237"/>
        <item x="239"/>
        <item x="240"/>
        <item x="242"/>
        <item x="244"/>
        <item x="246"/>
        <item x="248"/>
        <item x="250"/>
        <item x="251"/>
        <item x="252"/>
        <item x="253"/>
        <item x="255"/>
        <item x="257"/>
        <item x="259"/>
        <item x="261"/>
        <item x="263"/>
        <item x="265"/>
        <item x="267"/>
        <item x="269"/>
        <item x="271"/>
        <item x="273"/>
        <item x="276"/>
        <item x="277"/>
        <item x="279"/>
        <item x="281"/>
        <item x="283"/>
        <item x="285"/>
        <item x="286"/>
        <item x="287"/>
        <item x="289"/>
        <item x="291"/>
        <item x="294"/>
        <item x="296"/>
        <item x="298"/>
        <item x="300"/>
        <item x="301"/>
        <item x="303"/>
        <item x="305"/>
        <item x="307"/>
        <item x="309"/>
        <item x="310"/>
        <item x="312"/>
        <item x="314"/>
        <item x="317"/>
        <item x="319"/>
        <item x="320"/>
        <item x="322"/>
        <item x="324"/>
        <item x="326"/>
        <item x="328"/>
        <item x="329"/>
        <item x="331"/>
        <item x="333"/>
        <item x="335"/>
        <item x="337"/>
        <item x="338"/>
        <item x="340"/>
        <item x="342"/>
        <item x="344"/>
        <item x="346"/>
        <item x="348"/>
        <item x="350"/>
        <item x="352"/>
        <item x="354"/>
        <item x="355"/>
        <item x="357"/>
        <item x="359"/>
        <item x="361"/>
        <item x="363"/>
        <item x="365"/>
        <item x="370"/>
        <item x="371"/>
        <item x="372"/>
        <item x="373"/>
        <item x="374"/>
        <item x="376"/>
        <item x="378"/>
        <item x="380"/>
        <item x="382"/>
        <item x="384"/>
        <item x="386"/>
        <item x="388"/>
        <item x="390"/>
        <item x="392"/>
        <item x="394"/>
        <item x="396"/>
        <item x="398"/>
        <item x="401"/>
        <item x="403"/>
        <item x="405"/>
        <item x="407"/>
        <item x="410"/>
        <item x="411"/>
        <item x="413"/>
        <item x="415"/>
        <item x="417"/>
        <item x="419"/>
        <item x="421"/>
        <item x="422"/>
        <item x="424"/>
        <item x="426"/>
        <item x="428"/>
        <item x="430"/>
        <item x="432"/>
        <item x="434"/>
        <item x="436"/>
        <item x="440"/>
        <item x="442"/>
        <item x="444"/>
        <item x="446"/>
        <item x="447"/>
        <item x="449"/>
        <item x="451"/>
        <item x="453"/>
        <item x="455"/>
        <item x="457"/>
        <item x="459"/>
        <item x="461"/>
        <item x="463"/>
        <item x="464"/>
        <item x="465"/>
        <item x="467"/>
        <item x="470"/>
        <item x="473"/>
        <item x="475"/>
        <item x="477"/>
        <item x="479"/>
        <item x="483"/>
        <item x="485"/>
        <item x="487"/>
        <item x="489"/>
        <item x="491"/>
        <item x="493"/>
        <item x="495"/>
        <item x="496"/>
        <item x="498"/>
        <item x="500"/>
        <item x="502"/>
        <item x="504"/>
        <item x="506"/>
        <item x="509"/>
        <item x="511"/>
        <item x="513"/>
        <item x="516"/>
        <item x="518"/>
        <item x="520"/>
        <item x="522"/>
        <item x="524"/>
        <item x="527"/>
        <item x="529"/>
        <item x="531"/>
        <item x="535"/>
        <item x="537"/>
        <item x="539"/>
        <item x="541"/>
        <item x="543"/>
        <item x="545"/>
        <item x="548"/>
        <item x="550"/>
        <item x="552"/>
        <item x="554"/>
        <item x="556"/>
        <item x="558"/>
        <item x="559"/>
        <item x="560"/>
        <item x="561"/>
        <item x="563"/>
        <item x="565"/>
        <item x="568"/>
        <item x="570"/>
        <item x="571"/>
        <item x="572"/>
        <item x="574"/>
        <item x="576"/>
        <item x="578"/>
        <item x="581"/>
        <item x="583"/>
        <item x="585"/>
        <item x="589"/>
        <item x="591"/>
        <item x="593"/>
        <item x="596"/>
        <item x="598"/>
        <item x="600"/>
        <item x="602"/>
        <item x="604"/>
        <item x="606"/>
        <item x="607"/>
        <item x="608"/>
        <item x="613"/>
        <item x="614"/>
        <item x="616"/>
        <item x="618"/>
        <item x="619"/>
        <item x="620"/>
        <item x="622"/>
        <item x="624"/>
        <item x="626"/>
        <item x="629"/>
        <item x="630"/>
        <item x="632"/>
        <item x="634"/>
        <item x="638"/>
        <item x="640"/>
        <item x="642"/>
        <item x="643"/>
        <item x="645"/>
        <item x="647"/>
        <item x="648"/>
        <item x="649"/>
        <item x="651"/>
        <item x="653"/>
        <item x="655"/>
        <item x="657"/>
        <item x="659"/>
        <item x="660"/>
        <item x="662"/>
        <item x="665"/>
        <item x="666"/>
        <item x="668"/>
        <item x="670"/>
        <item x="672"/>
        <item x="674"/>
        <item x="676"/>
        <item x="678"/>
        <item x="680"/>
        <item x="683"/>
        <item x="685"/>
        <item x="687"/>
        <item x="689"/>
        <item x="691"/>
        <item x="693"/>
        <item x="695"/>
        <item x="696"/>
        <item x="698"/>
        <item x="700"/>
        <item x="701"/>
        <item x="702"/>
        <item x="704"/>
        <item x="706"/>
        <item x="707"/>
        <item x="709"/>
        <item x="711"/>
        <item x="713"/>
        <item x="715"/>
        <item x="716"/>
        <item x="717"/>
        <item x="719"/>
        <item x="721"/>
        <item x="724"/>
        <item x="726"/>
        <item x="728"/>
        <item x="732"/>
        <item x="734"/>
        <item x="736"/>
        <item x="740"/>
        <item x="742"/>
        <item x="744"/>
        <item x="746"/>
        <item x="748"/>
        <item x="749"/>
        <item x="751"/>
        <item x="753"/>
        <item x="754"/>
        <item x="756"/>
        <item x="758"/>
        <item x="760"/>
        <item x="762"/>
        <item x="764"/>
        <item x="767"/>
        <item x="769"/>
        <item x="772"/>
        <item x="773"/>
        <item x="774"/>
        <item x="775"/>
        <item x="777"/>
        <item x="779"/>
        <item x="781"/>
        <item x="782"/>
        <item x="784"/>
        <item x="786"/>
        <item x="787"/>
        <item x="788"/>
        <item x="789"/>
        <item x="791"/>
        <item x="793"/>
        <item x="795"/>
        <item x="797"/>
        <item x="799"/>
        <item x="801"/>
        <item x="804"/>
        <item x="805"/>
        <item x="807"/>
        <item x="809"/>
        <item x="811"/>
        <item x="813"/>
        <item x="815"/>
        <item x="817"/>
        <item x="818"/>
        <item x="820"/>
        <item x="822"/>
        <item x="824"/>
        <item x="827"/>
        <item x="829"/>
        <item x="831"/>
        <item x="833"/>
        <item x="835"/>
        <item x="837"/>
        <item x="839"/>
        <item x="841"/>
        <item x="843"/>
        <item x="844"/>
        <item x="846"/>
        <item x="848"/>
        <item x="851"/>
        <item x="853"/>
        <item x="855"/>
        <item x="857"/>
        <item x="859"/>
        <item x="861"/>
        <item x="862"/>
        <item x="864"/>
        <item x="866"/>
        <item x="868"/>
        <item x="872"/>
        <item x="874"/>
        <item x="876"/>
        <item x="877"/>
        <item x="878"/>
        <item x="880"/>
        <item x="882"/>
        <item x="884"/>
        <item x="886"/>
        <item x="888"/>
        <item x="890"/>
        <item x="892"/>
        <item x="894"/>
        <item x="895"/>
        <item x="897"/>
        <item x="899"/>
        <item x="901"/>
        <item x="903"/>
        <item x="905"/>
        <item x="906"/>
        <item x="908"/>
        <item x="910"/>
        <item x="91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712"/>
    </i>
    <i>
      <x v="316"/>
    </i>
    <i>
      <x v="413"/>
    </i>
    <i>
      <x v="884"/>
    </i>
    <i>
      <x v="17"/>
    </i>
  </rowItems>
  <colItems count="1">
    <i/>
  </colItems>
  <dataFields count="1">
    <dataField name="Sum of Sales" fld="12" baseField="7" baseItem="2" numFmtId="168"/>
  </dataFields>
  <chartFormats count="5">
    <chartFormat chart="14"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1E9E433-CC52-42C3-8232-83C2CAAC38C3}" sourceName="Size">
  <pivotTables>
    <pivotTable tabId="18" name="TotalSales"/>
    <pivotTable tabId="19" name="TotalSales"/>
    <pivotTable tabId="21" name="TotalSales"/>
  </pivotTables>
  <data>
    <tabular pivotCacheId="158742824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635498A-A576-41B2-A215-F217C6DF742A}" sourceName="Roast type Name">
  <pivotTables>
    <pivotTable tabId="18" name="TotalSales"/>
    <pivotTable tabId="19" name="TotalSales"/>
    <pivotTable tabId="21" name="TotalSales"/>
  </pivotTables>
  <data>
    <tabular pivotCacheId="15874282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885B424F-B7B2-4858-9DAD-315757B3A7DC}" sourceName="Loyality card">
  <pivotTables>
    <pivotTable tabId="18" name="TotalSales"/>
    <pivotTable tabId="19" name="TotalSales"/>
    <pivotTable tabId="21" name="TotalSales"/>
  </pivotTables>
  <data>
    <tabular pivotCacheId="15874282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6F05B47-A5E7-4D0D-9285-E2F472B8B04F}" cache="Slicer_Size" caption="Size" columnCount="2" rowHeight="234950"/>
  <slicer name="Roast type Name 1" xr10:uid="{267E7FF3-371B-445C-AFD7-7AE27FF2F153}" cache="Slicer_Roast_type_Name" caption="Roast type Name" columnCount="3" rowHeight="234950"/>
  <slicer name="Loyality card 1" xr10:uid="{FBB6BC66-1CAE-47D5-AAEE-70F52D53708A}" cache="Slicer_Loyality_card" caption="Loyali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71E36DD-8F71-49D1-8402-3942FE18DBBB}" cache="Slicer_Size" caption="Size" columnCount="2" rowHeight="234950"/>
  <slicer name="Roast type Name" xr10:uid="{E80F626A-1B92-44BB-AF4C-2D6461724C8A}" cache="Slicer_Roast_type_Name" caption="Roast type Name" columnCount="3" rowHeight="234950"/>
  <slicer name="Loyality card" xr10:uid="{93E71A54-5848-4F3F-80BC-2E7AD7A75D3E}" cache="Slicer_Loyality_card" caption="Loyali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EA7A85-EF64-47EA-82ED-22BC60F3AA18}" name="orders" displayName="orders" ref="A1:P1001" totalsRowShown="0" headerRowDxfId="11">
  <autoFilter ref="A1:P1001" xr:uid="{10EA7A85-EF64-47EA-82ED-22BC60F3AA18}"/>
  <tableColumns count="16">
    <tableColumn id="1" xr3:uid="{49A8D4B4-C3C7-4319-88E0-A689B255FB16}" name="Order ID" dataDxfId="10"/>
    <tableColumn id="2" xr3:uid="{5758485C-5A4A-4390-9AA5-21756107364E}" name="Order Date" dataDxfId="9"/>
    <tableColumn id="3" xr3:uid="{5730E079-AC7B-4E9D-92E6-006D779FD71C}" name="Customer ID" dataDxfId="8"/>
    <tableColumn id="4" xr3:uid="{CC264665-A393-4B9F-BF61-A96C0825DBBA}" name="Product ID"/>
    <tableColumn id="5" xr3:uid="{55CA0747-08CF-4BC2-BB10-A63FEDDA66AB}" name="Quantity" dataDxfId="7"/>
    <tableColumn id="6" xr3:uid="{B03524D3-1B7F-4C21-A19A-6EA97A53F826}" name="Customer Name" dataDxfId="6">
      <calculatedColumnFormula>_xlfn.XLOOKUP(C2,customers!$A$1:$A$1001,customers!$B$1:$B$1001,,0)</calculatedColumnFormula>
    </tableColumn>
    <tableColumn id="7" xr3:uid="{F2669AC0-459B-4FE9-8248-D573D28ADCC8}" name="Email" dataDxfId="5">
      <calculatedColumnFormula>IF(_xlfn.XLOOKUP(C2,customers!$A$1:$A$1001,customers!$C$1:$C$1001,,0)=0,"",_xlfn.XLOOKUP(C2,customers!$A$1:$A$1001,customers!$C$1:$C$1001,,0))</calculatedColumnFormula>
    </tableColumn>
    <tableColumn id="8" xr3:uid="{4F938CAD-BFCA-419F-A30A-B48E7009B02A}" name="Country" dataDxfId="4">
      <calculatedColumnFormula>_xlfn.XLOOKUP(C2,customers!$A$1:$A$1001,customers!$G$1:$G$1001,,0)</calculatedColumnFormula>
    </tableColumn>
    <tableColumn id="9" xr3:uid="{B1089E4A-B09C-4D07-896E-6F7E99203383}" name="Coffee Type">
      <calculatedColumnFormula>INDEX(products!$A$1:$G$49,MATCH(orders!$D2,products!$A$1:$A$49,0),MATCH(orders!I$1,products!$A$1:$G$1,0))</calculatedColumnFormula>
    </tableColumn>
    <tableColumn id="10" xr3:uid="{0DA7AA27-34B5-43AD-8B6A-ABD71BD8BC42}" name="Roast Type">
      <calculatedColumnFormula>INDEX(products!$A$1:$G$49,MATCH(orders!$D2,products!$A$1:$A$49,0),MATCH(orders!J$1,products!$A$1:$G$1,0))</calculatedColumnFormula>
    </tableColumn>
    <tableColumn id="11" xr3:uid="{1F0EA98B-5F8C-4F04-9A25-1BB5CCD27C2C}" name="Size" dataDxfId="3">
      <calculatedColumnFormula>INDEX(products!$A$1:$G$49,MATCH(orders!$D2,products!$A$1:$A$49,0),MATCH(orders!K$1,products!$A$1:$G$1,0))</calculatedColumnFormula>
    </tableColumn>
    <tableColumn id="12" xr3:uid="{FDE2A30C-0088-41AE-8541-7E05849B841E}" name="Unit Price" dataDxfId="2">
      <calculatedColumnFormula>INDEX(products!$A$1:$G$49,MATCH(orders!$D2,products!$A$1:$A$49,0),MATCH(orders!L$1,products!$A$1:$G$1,0))</calculatedColumnFormula>
    </tableColumn>
    <tableColumn id="13" xr3:uid="{96FADDF0-AA0A-4ABB-B463-615E28DB96F0}" name="Sales" dataDxfId="1">
      <calculatedColumnFormula>L2*E2</calculatedColumnFormula>
    </tableColumn>
    <tableColumn id="14" xr3:uid="{3474DF47-2B42-484C-9578-678C15CA6C83}" name="Coffee Type Name">
      <calculatedColumnFormula>IF(I2="Rob","Robusta",IF(I2="Exc","Excelsa",IF(I2="Ara","Arabica",IF(I2="Lib","Liberica",""))))</calculatedColumnFormula>
    </tableColumn>
    <tableColumn id="15" xr3:uid="{F6F029FE-2923-4DAB-A2CB-1EE217C43DE1}" name="Roast type Name">
      <calculatedColumnFormula>IF(J2="M","Medium",IF(J2="L","Light",IF(J2="D","Dark","")))</calculatedColumnFormula>
    </tableColumn>
    <tableColumn id="16" xr3:uid="{D02CF1E5-8704-4576-A14F-C52503CADDC1}" name="Loyali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6A3E6E9-1953-4255-8E24-CB138D43FB65}" sourceName="Order Date">
  <pivotTables>
    <pivotTable tabId="18" name="TotalSales"/>
    <pivotTable tabId="19" name="TotalSales"/>
    <pivotTable tabId="21" name="TotalSales"/>
  </pivotTables>
  <state minimalRefreshVersion="6" lastRefreshVersion="6" pivotCacheId="158742824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78D8E61-11A0-4118-8E65-5936D89CCBE8}"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4BE9414-9574-4EB5-BD35-65C51169E272}" cache="NativeTimeline_Order_Date" caption="Order Date" level="2" selectionLevel="2" scrollPosition="2020-05-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EA1A-331F-4853-A720-6BD9E1997DAB}">
  <dimension ref="A1:A28"/>
  <sheetViews>
    <sheetView showGridLines="0" zoomScale="78" workbookViewId="0">
      <selection activeCell="AE31" sqref="AE31"/>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8"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F4B5-2A6F-44B6-A612-AB7BBAAC2AE7}">
  <dimension ref="A3:F48"/>
  <sheetViews>
    <sheetView tabSelected="1" topLeftCell="B1" workbookViewId="0">
      <selection activeCell="S4" sqref="S4"/>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7" t="s">
        <v>6220</v>
      </c>
      <c r="C3" s="7" t="s">
        <v>6196</v>
      </c>
    </row>
    <row r="4" spans="1:6" x14ac:dyDescent="0.3">
      <c r="A4" s="7" t="s">
        <v>6214</v>
      </c>
      <c r="B4" s="7" t="s">
        <v>6215</v>
      </c>
      <c r="C4" t="s">
        <v>6216</v>
      </c>
      <c r="D4" t="s">
        <v>6217</v>
      </c>
      <c r="E4" t="s">
        <v>6218</v>
      </c>
      <c r="F4" t="s">
        <v>6219</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6" x14ac:dyDescent="0.3">
      <c r="A17" t="s">
        <v>6199</v>
      </c>
      <c r="B17" t="s">
        <v>6202</v>
      </c>
      <c r="C17" s="8">
        <v>47.25</v>
      </c>
      <c r="D17" s="8">
        <v>65.805000000000007</v>
      </c>
      <c r="E17" s="8">
        <v>274.67500000000001</v>
      </c>
      <c r="F17" s="8">
        <v>179.22</v>
      </c>
    </row>
    <row r="18" spans="1:6" x14ac:dyDescent="0.3">
      <c r="B18" t="s">
        <v>6203</v>
      </c>
      <c r="C18" s="8">
        <v>745.44999999999993</v>
      </c>
      <c r="D18" s="8">
        <v>428.88499999999999</v>
      </c>
      <c r="E18" s="8">
        <v>194.17499999999998</v>
      </c>
      <c r="F18" s="8">
        <v>429.82999999999993</v>
      </c>
    </row>
    <row r="19" spans="1:6" x14ac:dyDescent="0.3">
      <c r="B19" t="s">
        <v>6204</v>
      </c>
      <c r="C19" s="8">
        <v>130.47</v>
      </c>
      <c r="D19" s="8">
        <v>271.48500000000001</v>
      </c>
      <c r="E19" s="8">
        <v>281.20499999999998</v>
      </c>
      <c r="F19" s="8">
        <v>231.63000000000002</v>
      </c>
    </row>
    <row r="20" spans="1:6" x14ac:dyDescent="0.3">
      <c r="B20" t="s">
        <v>6205</v>
      </c>
      <c r="C20" s="8">
        <v>27</v>
      </c>
      <c r="D20" s="8">
        <v>347.26</v>
      </c>
      <c r="E20" s="8">
        <v>147.51</v>
      </c>
      <c r="F20" s="8">
        <v>240.04</v>
      </c>
    </row>
    <row r="21" spans="1:6" x14ac:dyDescent="0.3">
      <c r="B21" t="s">
        <v>6206</v>
      </c>
      <c r="C21" s="8">
        <v>255.11499999999995</v>
      </c>
      <c r="D21" s="8">
        <v>541.73</v>
      </c>
      <c r="E21" s="8">
        <v>83.43</v>
      </c>
      <c r="F21" s="8">
        <v>59.079999999999991</v>
      </c>
    </row>
    <row r="22" spans="1:6" x14ac:dyDescent="0.3">
      <c r="B22" t="s">
        <v>6207</v>
      </c>
      <c r="C22" s="8">
        <v>584.78999999999985</v>
      </c>
      <c r="D22" s="8">
        <v>357.42999999999995</v>
      </c>
      <c r="E22" s="8">
        <v>355.34</v>
      </c>
      <c r="F22" s="8">
        <v>140.88</v>
      </c>
    </row>
    <row r="23" spans="1:6" x14ac:dyDescent="0.3">
      <c r="B23" t="s">
        <v>6208</v>
      </c>
      <c r="C23" s="8">
        <v>430.62</v>
      </c>
      <c r="D23" s="8">
        <v>227.42500000000001</v>
      </c>
      <c r="E23" s="8">
        <v>236.315</v>
      </c>
      <c r="F23" s="8">
        <v>414.58499999999992</v>
      </c>
    </row>
    <row r="24" spans="1:6" x14ac:dyDescent="0.3">
      <c r="B24" t="s">
        <v>6209</v>
      </c>
      <c r="C24" s="8">
        <v>22.5</v>
      </c>
      <c r="D24" s="8">
        <v>77.72</v>
      </c>
      <c r="E24" s="8">
        <v>60.5</v>
      </c>
      <c r="F24" s="8">
        <v>139.67999999999998</v>
      </c>
    </row>
    <row r="25" spans="1:6" x14ac:dyDescent="0.3">
      <c r="B25" t="s">
        <v>6210</v>
      </c>
      <c r="C25" s="8">
        <v>126.14999999999999</v>
      </c>
      <c r="D25" s="8">
        <v>195.11</v>
      </c>
      <c r="E25" s="8">
        <v>89.13</v>
      </c>
      <c r="F25" s="8">
        <v>302.65999999999997</v>
      </c>
    </row>
    <row r="26" spans="1:6" x14ac:dyDescent="0.3">
      <c r="B26" t="s">
        <v>6211</v>
      </c>
      <c r="C26" s="8">
        <v>376.03</v>
      </c>
      <c r="D26" s="8">
        <v>523.24</v>
      </c>
      <c r="E26" s="8">
        <v>440.96499999999997</v>
      </c>
      <c r="F26" s="8">
        <v>174.46999999999997</v>
      </c>
    </row>
    <row r="27" spans="1:6" x14ac:dyDescent="0.3">
      <c r="B27" t="s">
        <v>6212</v>
      </c>
      <c r="C27" s="8">
        <v>515.17999999999995</v>
      </c>
      <c r="D27" s="8">
        <v>142.56</v>
      </c>
      <c r="E27" s="8">
        <v>347.03999999999996</v>
      </c>
      <c r="F27" s="8">
        <v>104.08499999999999</v>
      </c>
    </row>
    <row r="28" spans="1:6" x14ac:dyDescent="0.3">
      <c r="B28" t="s">
        <v>6213</v>
      </c>
      <c r="C28" s="8">
        <v>95.859999999999985</v>
      </c>
      <c r="D28" s="8">
        <v>484.76</v>
      </c>
      <c r="E28" s="8">
        <v>94.17</v>
      </c>
      <c r="F28" s="8">
        <v>77.10499999999999</v>
      </c>
    </row>
    <row r="29" spans="1:6" x14ac:dyDescent="0.3">
      <c r="A29" t="s">
        <v>6200</v>
      </c>
      <c r="B29" t="s">
        <v>6202</v>
      </c>
      <c r="C29" s="8">
        <v>258.34500000000003</v>
      </c>
      <c r="D29" s="8">
        <v>139.625</v>
      </c>
      <c r="E29" s="8">
        <v>279.52000000000004</v>
      </c>
      <c r="F29" s="8">
        <v>160.19499999999999</v>
      </c>
    </row>
    <row r="30" spans="1:6" x14ac:dyDescent="0.3">
      <c r="B30" t="s">
        <v>6203</v>
      </c>
      <c r="C30" s="8">
        <v>342.2</v>
      </c>
      <c r="D30" s="8">
        <v>284.24999999999994</v>
      </c>
      <c r="E30" s="8">
        <v>251.83</v>
      </c>
      <c r="F30" s="8">
        <v>80.550000000000011</v>
      </c>
    </row>
    <row r="31" spans="1:6" x14ac:dyDescent="0.3">
      <c r="B31" t="s">
        <v>6204</v>
      </c>
      <c r="C31" s="8">
        <v>418.30499999999989</v>
      </c>
      <c r="D31" s="8">
        <v>468.125</v>
      </c>
      <c r="E31" s="8">
        <v>405.05500000000006</v>
      </c>
      <c r="F31" s="8">
        <v>253.15499999999997</v>
      </c>
    </row>
    <row r="32" spans="1:6"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F6C9-E578-479D-8887-C02E34A8D4B1}">
  <dimension ref="A3:B6"/>
  <sheetViews>
    <sheetView workbookViewId="0">
      <selection activeCell="P17" sqref="P17"/>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7" t="s">
        <v>7</v>
      </c>
      <c r="B3" t="s">
        <v>6220</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33A5-278A-4D40-BA1E-F2C5BD9B1BD8}">
  <dimension ref="A3:B8"/>
  <sheetViews>
    <sheetView workbookViewId="0">
      <selection activeCell="P18" sqref="P18"/>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7" t="s">
        <v>4</v>
      </c>
      <c r="B3" t="s">
        <v>6220</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98" zoomScaleNormal="98" workbookViewId="0">
      <selection activeCell="G26" sqref="G26"/>
    </sheetView>
  </sheetViews>
  <sheetFormatPr defaultRowHeight="14.4" x14ac:dyDescent="0.3"/>
  <cols>
    <col min="1" max="1" width="16.5546875" bestFit="1" customWidth="1"/>
    <col min="2" max="2" width="13.5546875" bestFit="1" customWidth="1"/>
    <col min="3" max="3" width="17.44140625" bestFit="1" customWidth="1"/>
    <col min="4" max="4" width="11.33203125" customWidth="1"/>
    <col min="5" max="5" width="9.77734375" customWidth="1"/>
    <col min="6" max="6" width="20.44140625" bestFit="1" customWidth="1"/>
    <col min="7" max="7" width="36" bestFit="1" customWidth="1"/>
    <col min="8" max="8" width="14.33203125" bestFit="1" customWidth="1"/>
    <col min="9" max="9" width="12.6640625" customWidth="1"/>
    <col min="10" max="10" width="11.6640625" customWidth="1"/>
    <col min="11" max="11" width="6" bestFit="1" customWidth="1"/>
    <col min="12" max="12" width="10.77734375" customWidth="1"/>
    <col min="13" max="13" width="8.88671875" bestFit="1" customWidth="1"/>
    <col min="14" max="14" width="18.109375" customWidth="1"/>
    <col min="15" max="15" width="16.88671875" customWidth="1"/>
    <col min="16" max="16" width="14.21875" bestFit="1" customWidth="1"/>
  </cols>
  <sheetData>
    <row r="1" spans="1:16" x14ac:dyDescent="0.3">
      <c r="A1" s="2" t="s">
        <v>0</v>
      </c>
      <c r="B1" s="2" t="s">
        <v>1</v>
      </c>
      <c r="C1" s="2" t="s">
        <v>3</v>
      </c>
      <c r="D1" s="2" t="s">
        <v>11</v>
      </c>
      <c r="E1" s="2" t="s">
        <v>14</v>
      </c>
      <c r="F1" s="2" t="s">
        <v>4</v>
      </c>
      <c r="G1" s="2" t="s">
        <v>2</v>
      </c>
      <c r="H1" s="2" t="s">
        <v>7</v>
      </c>
      <c r="I1" s="2" t="s">
        <v>9</v>
      </c>
      <c r="J1" s="2" t="s">
        <v>10</v>
      </c>
      <c r="K1" s="4"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8" workbookViewId="0">
      <selection activeCell="B1001" sqref="B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CHADALAVADA RAJKUMAR</dc:creator>
  <cp:keywords/>
  <dc:description/>
  <cp:lastModifiedBy>CHADALAVADA RAJKUMAR</cp:lastModifiedBy>
  <cp:revision/>
  <dcterms:created xsi:type="dcterms:W3CDTF">2022-11-26T09:51:45Z</dcterms:created>
  <dcterms:modified xsi:type="dcterms:W3CDTF">2026-10-24T05:51:05Z</dcterms:modified>
  <cp:category/>
  <cp:contentStatus/>
</cp:coreProperties>
</file>